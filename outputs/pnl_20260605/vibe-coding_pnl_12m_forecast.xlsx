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ource Data" sheetId="3" state="visible" r:id="rId3"/>
    <sheet xmlns:r="http://schemas.openxmlformats.org/officeDocument/2006/relationships" name="Monthly P&amp;L" sheetId="4" state="visible" r:id="rId4"/>
    <sheet xmlns:r="http://schemas.openxmlformats.org/officeDocument/2006/relationships" name="Checks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NT$#,##0;[Red](NT$#,##0);-"/>
    <numFmt numFmtId="166" formatCode="0.0%;[Red](0.0%);-"/>
  </numFmts>
  <fonts count="11">
    <font>
      <name val="Calibri"/>
      <family val="2"/>
      <color theme="1"/>
      <sz val="11"/>
      <scheme val="minor"/>
    </font>
    <font>
      <b val="1"/>
      <color rgb="00FFFFFF"/>
    </font>
    <font>
      <color rgb="000000FF"/>
    </font>
    <font>
      <b val="1"/>
    </font>
    <font>
      <b val="1"/>
      <color rgb="00FFFFFF"/>
      <sz val="18"/>
    </font>
    <font>
      <b val="1"/>
      <color rgb="001F2937"/>
    </font>
    <font>
      <color rgb="00000000"/>
    </font>
    <font>
      <i val="1"/>
      <color rgb="004B5563"/>
    </font>
    <font>
      <b val="1"/>
      <color rgb="00FFFFFF"/>
      <sz val="12"/>
    </font>
    <font>
      <color rgb="001F2937"/>
    </font>
    <font>
      <color rgb="00008000"/>
    </font>
  </fonts>
  <fills count="9">
    <fill>
      <patternFill/>
    </fill>
    <fill>
      <patternFill patternType="gray125"/>
    </fill>
    <fill>
      <patternFill patternType="solid">
        <fgColor rgb="000F4C81"/>
      </patternFill>
    </fill>
    <fill>
      <patternFill patternType="solid">
        <fgColor rgb="00FFFDEB"/>
      </patternFill>
    </fill>
    <fill>
      <patternFill patternType="solid">
        <fgColor rgb="00F8FAFC"/>
      </patternFill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top style="thin">
        <color rgb="00000000"/>
      </top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2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165" fontId="6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65" fontId="6" fillId="0" borderId="0" applyAlignment="1" pivotButton="0" quotePrefix="0" xfId="0">
      <alignment vertical="center"/>
    </xf>
    <xf numFmtId="166" fontId="10" fillId="0" borderId="0" applyAlignment="1" pivotButton="0" quotePrefix="0" xfId="0">
      <alignment horizontal="right"/>
    </xf>
    <xf numFmtId="0" fontId="1" fillId="5" borderId="0" applyAlignment="1" pivotButton="0" quotePrefix="0" xfId="0">
      <alignment horizont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/>
    </xf>
    <xf numFmtId="0" fontId="2" fillId="3" borderId="0" applyAlignment="1" pivotButton="0" quotePrefix="0" xfId="0">
      <alignment horizontal="left"/>
    </xf>
    <xf numFmtId="0" fontId="3" fillId="0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right"/>
    </xf>
    <xf numFmtId="165" fontId="2" fillId="0" borderId="0" applyAlignment="1" pivotButton="0" quotePrefix="0" xfId="0">
      <alignment horizontal="right"/>
    </xf>
    <xf numFmtId="0" fontId="8" fillId="5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64" fontId="10" fillId="0" borderId="0" applyAlignment="1" pivotButton="0" quotePrefix="0" xfId="0">
      <alignment horizontal="right"/>
    </xf>
    <xf numFmtId="165" fontId="10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0" fontId="0" fillId="0" borderId="1" pivotButton="0" quotePrefix="0" xfId="0"/>
    <xf numFmtId="165" fontId="6" fillId="0" borderId="1" applyAlignment="1" pivotButton="0" quotePrefix="0" xfId="0">
      <alignment vertical="center"/>
    </xf>
    <xf numFmtId="0" fontId="9" fillId="0" borderId="0" applyAlignment="1" pivotButton="0" quotePrefix="0" xfId="0">
      <alignment horizontal="left" indent="1"/>
    </xf>
    <xf numFmtId="166" fontId="6" fillId="0" borderId="0" applyAlignment="1" pivotButton="0" quotePrefix="0" xfId="0">
      <alignment vertical="center"/>
    </xf>
    <xf numFmtId="0" fontId="3" fillId="7" borderId="0" applyAlignment="1" pivotButton="0" quotePrefix="0" xfId="0">
      <alignment horizontal="center"/>
    </xf>
    <xf numFmtId="0" fontId="3" fillId="8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/ Gross Profit / EBITDA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'Summary'!E12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'Summary'!$D$13:$D$24</f>
            </numRef>
          </cat>
          <val>
            <numRef>
              <f>'Summary'!$E$13:$E$24</f>
            </numRef>
          </val>
        </ser>
        <ser>
          <idx val="1"/>
          <order val="1"/>
          <tx>
            <strRef>
              <f>'Summary'!F12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'Summary'!$D$13:$D$24</f>
            </numRef>
          </cat>
          <val>
            <numRef>
              <f>'Summary'!$F$13:$F$24</f>
            </numRef>
          </val>
        </ser>
        <ser>
          <idx val="2"/>
          <order val="2"/>
          <tx>
            <strRef>
              <f>'Summary'!G12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'Summary'!$D$13:$D$24</f>
            </numRef>
          </cat>
          <val>
            <numRef>
              <f>'Summary'!$G$13:$G$24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NT$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Internal source: docs/investor/12m-funding-plan.csv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4" customWidth="1" min="3" max="3"/>
    <col width="22" customWidth="1" min="4" max="4"/>
    <col width="3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Vibe Coding 損益表摘要</t>
        </is>
      </c>
    </row>
    <row r="2">
      <c r="A2" s="2" t="inlineStr">
        <is>
          <t>基於 docs/investor/12m-funding-plan.csv 的 12 個月營運預估</t>
        </is>
      </c>
    </row>
    <row r="3"/>
    <row r="4">
      <c r="A4" s="3" t="inlineStr">
        <is>
          <t>Annual revenue</t>
        </is>
      </c>
      <c r="B4" s="4">
        <f>SUM('Monthly P&amp;L'!C10:N10)</f>
        <v/>
      </c>
      <c r="D4" s="3" t="inlineStr">
        <is>
          <t>Model note</t>
        </is>
      </c>
      <c r="E4" s="5" t="inlineStr">
        <is>
          <t>Operating profit excludes cash injection; financing is shown separately.</t>
        </is>
      </c>
    </row>
    <row r="5">
      <c r="A5" s="3" t="inlineStr">
        <is>
          <t>Gross profit</t>
        </is>
      </c>
      <c r="B5" s="4">
        <f>SUM('Monthly P&amp;L'!C17:N17)</f>
        <v/>
      </c>
    </row>
    <row r="6">
      <c r="A6" s="3" t="inlineStr">
        <is>
          <t>EBITDA</t>
        </is>
      </c>
      <c r="B6" s="4">
        <f>SUM('Monthly P&amp;L'!C26:N26)</f>
        <v/>
      </c>
      <c r="D6" s="6" t="inlineStr">
        <is>
          <t>Total revenue</t>
        </is>
      </c>
      <c r="E6" s="7">
        <f>SUM('Monthly P&amp;L'!C10:N10)</f>
        <v/>
      </c>
    </row>
    <row r="7">
      <c r="A7" s="3" t="inlineStr">
        <is>
          <t>EBITDA margin</t>
        </is>
      </c>
      <c r="B7" s="8">
        <f>IFERROR(B6/B4,0)</f>
        <v/>
      </c>
      <c r="D7" s="6" t="inlineStr">
        <is>
          <t>Total COGS</t>
        </is>
      </c>
      <c r="E7" s="7">
        <f>SUM('Monthly P&amp;L'!C16:N16)</f>
        <v/>
      </c>
    </row>
    <row r="8">
      <c r="A8" s="3" t="inlineStr">
        <is>
          <t>Closing cash (M12)</t>
        </is>
      </c>
      <c r="B8" s="4">
        <f>'Monthly P&amp;L'!N31</f>
        <v/>
      </c>
      <c r="D8" s="6" t="inlineStr">
        <is>
          <t>Total opex</t>
        </is>
      </c>
      <c r="E8" s="7">
        <f>SUM('Monthly P&amp;L'!C25:N25)</f>
        <v/>
      </c>
    </row>
    <row r="9">
      <c r="D9" s="6" t="inlineStr">
        <is>
          <t>Net profit / EBITDA</t>
        </is>
      </c>
      <c r="E9" s="7">
        <f>SUM('Monthly P&amp;L'!C26:N26)</f>
        <v/>
      </c>
    </row>
    <row r="10"/>
    <row r="11"/>
    <row r="12">
      <c r="D12" s="9" t="inlineStr">
        <is>
          <t>Month</t>
        </is>
      </c>
      <c r="E12" s="9" t="inlineStr">
        <is>
          <t>Revenue</t>
        </is>
      </c>
      <c r="F12" s="9" t="inlineStr">
        <is>
          <t>Gross profit</t>
        </is>
      </c>
      <c r="G12" s="9" t="inlineStr">
        <is>
          <t>EBITDA</t>
        </is>
      </c>
    </row>
    <row r="13">
      <c r="D13" s="10">
        <f>'Monthly P&amp;L'!C4</f>
        <v/>
      </c>
      <c r="E13" s="11">
        <f>'Monthly P&amp;L'!C10</f>
        <v/>
      </c>
      <c r="F13" s="11">
        <f>'Monthly P&amp;L'!C17</f>
        <v/>
      </c>
      <c r="G13" s="11">
        <f>'Monthly P&amp;L'!C26</f>
        <v/>
      </c>
    </row>
    <row r="14">
      <c r="D14" s="10">
        <f>'Monthly P&amp;L'!D4</f>
        <v/>
      </c>
      <c r="E14" s="11">
        <f>'Monthly P&amp;L'!D10</f>
        <v/>
      </c>
      <c r="F14" s="11">
        <f>'Monthly P&amp;L'!D17</f>
        <v/>
      </c>
      <c r="G14" s="11">
        <f>'Monthly P&amp;L'!D26</f>
        <v/>
      </c>
    </row>
    <row r="15">
      <c r="D15" s="10">
        <f>'Monthly P&amp;L'!E4</f>
        <v/>
      </c>
      <c r="E15" s="11">
        <f>'Monthly P&amp;L'!E10</f>
        <v/>
      </c>
      <c r="F15" s="11">
        <f>'Monthly P&amp;L'!E17</f>
        <v/>
      </c>
      <c r="G15" s="11">
        <f>'Monthly P&amp;L'!E26</f>
        <v/>
      </c>
    </row>
    <row r="16">
      <c r="D16" s="10">
        <f>'Monthly P&amp;L'!F4</f>
        <v/>
      </c>
      <c r="E16" s="11">
        <f>'Monthly P&amp;L'!F10</f>
        <v/>
      </c>
      <c r="F16" s="11">
        <f>'Monthly P&amp;L'!F17</f>
        <v/>
      </c>
      <c r="G16" s="11">
        <f>'Monthly P&amp;L'!F26</f>
        <v/>
      </c>
    </row>
    <row r="17">
      <c r="D17" s="10">
        <f>'Monthly P&amp;L'!G4</f>
        <v/>
      </c>
      <c r="E17" s="11">
        <f>'Monthly P&amp;L'!G10</f>
        <v/>
      </c>
      <c r="F17" s="11">
        <f>'Monthly P&amp;L'!G17</f>
        <v/>
      </c>
      <c r="G17" s="11">
        <f>'Monthly P&amp;L'!G26</f>
        <v/>
      </c>
    </row>
    <row r="18">
      <c r="D18" s="10">
        <f>'Monthly P&amp;L'!H4</f>
        <v/>
      </c>
      <c r="E18" s="11">
        <f>'Monthly P&amp;L'!H10</f>
        <v/>
      </c>
      <c r="F18" s="11">
        <f>'Monthly P&amp;L'!H17</f>
        <v/>
      </c>
      <c r="G18" s="11">
        <f>'Monthly P&amp;L'!H26</f>
        <v/>
      </c>
    </row>
    <row r="19">
      <c r="D19" s="10">
        <f>'Monthly P&amp;L'!I4</f>
        <v/>
      </c>
      <c r="E19" s="11">
        <f>'Monthly P&amp;L'!I10</f>
        <v/>
      </c>
      <c r="F19" s="11">
        <f>'Monthly P&amp;L'!I17</f>
        <v/>
      </c>
      <c r="G19" s="11">
        <f>'Monthly P&amp;L'!I26</f>
        <v/>
      </c>
    </row>
    <row r="20">
      <c r="D20" s="10">
        <f>'Monthly P&amp;L'!J4</f>
        <v/>
      </c>
      <c r="E20" s="11">
        <f>'Monthly P&amp;L'!J10</f>
        <v/>
      </c>
      <c r="F20" s="11">
        <f>'Monthly P&amp;L'!J17</f>
        <v/>
      </c>
      <c r="G20" s="11">
        <f>'Monthly P&amp;L'!J26</f>
        <v/>
      </c>
    </row>
    <row r="21">
      <c r="D21" s="10">
        <f>'Monthly P&amp;L'!K4</f>
        <v/>
      </c>
      <c r="E21" s="11">
        <f>'Monthly P&amp;L'!K10</f>
        <v/>
      </c>
      <c r="F21" s="11">
        <f>'Monthly P&amp;L'!K17</f>
        <v/>
      </c>
      <c r="G21" s="11">
        <f>'Monthly P&amp;L'!K26</f>
        <v/>
      </c>
    </row>
    <row r="22">
      <c r="D22" s="10">
        <f>'Monthly P&amp;L'!L4</f>
        <v/>
      </c>
      <c r="E22" s="11">
        <f>'Monthly P&amp;L'!L10</f>
        <v/>
      </c>
      <c r="F22" s="11">
        <f>'Monthly P&amp;L'!L17</f>
        <v/>
      </c>
      <c r="G22" s="11">
        <f>'Monthly P&amp;L'!L26</f>
        <v/>
      </c>
    </row>
    <row r="23">
      <c r="D23" s="10">
        <f>'Monthly P&amp;L'!M4</f>
        <v/>
      </c>
      <c r="E23" s="11">
        <f>'Monthly P&amp;L'!M10</f>
        <v/>
      </c>
      <c r="F23" s="11">
        <f>'Monthly P&amp;L'!M17</f>
        <v/>
      </c>
      <c r="G23" s="11">
        <f>'Monthly P&amp;L'!M26</f>
        <v/>
      </c>
    </row>
    <row r="24">
      <c r="D24" s="10">
        <f>'Monthly P&amp;L'!N4</f>
        <v/>
      </c>
      <c r="E24" s="11">
        <f>'Monthly P&amp;L'!N10</f>
        <v/>
      </c>
      <c r="F24" s="11">
        <f>'Monthly P&amp;L'!N17</f>
        <v/>
      </c>
      <c r="G24" s="11">
        <f>'Monthly P&amp;L'!N26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8" customWidth="1" min="3" max="3"/>
    <col width="18" customWidth="1" min="4" max="4"/>
  </cols>
  <sheetData>
    <row r="1">
      <c r="A1" s="1" t="inlineStr">
        <is>
          <t>損益表模型假設</t>
        </is>
      </c>
    </row>
    <row r="2"/>
    <row r="3">
      <c r="A3" s="3" t="inlineStr">
        <is>
          <t>模型期間</t>
        </is>
      </c>
      <c r="B3" s="12" t="inlineStr">
        <is>
          <t>12 個月預估</t>
        </is>
      </c>
    </row>
    <row r="4">
      <c r="A4" s="3" t="inlineStr">
        <is>
          <t>幣別</t>
        </is>
      </c>
      <c r="B4" s="12" t="inlineStr">
        <is>
          <t>TWD / NT$</t>
        </is>
      </c>
    </row>
    <row r="5">
      <c r="A5" s="3" t="inlineStr">
        <is>
          <t>資料來源</t>
        </is>
      </c>
      <c r="B5" s="13" t="inlineStr">
        <is>
          <t>docs/investor/12m-funding-plan.csv</t>
        </is>
      </c>
    </row>
    <row r="6">
      <c r="A6" s="3" t="inlineStr">
        <is>
          <t>模型性質</t>
        </is>
      </c>
      <c r="B6" s="12" t="inlineStr">
        <is>
          <t>Internal planning P&amp;L (not historical actuals)</t>
        </is>
      </c>
    </row>
    <row r="7">
      <c r="A7" s="3" t="inlineStr">
        <is>
          <t>損益範圍</t>
        </is>
      </c>
      <c r="B7" s="12" t="inlineStr">
        <is>
          <t>Revenue, COGS, gross profit, opex, EBITDA</t>
        </is>
      </c>
    </row>
    <row r="8">
      <c r="A8" s="3" t="inlineStr">
        <is>
          <t>現金項目</t>
        </is>
      </c>
      <c r="B8" s="12" t="inlineStr">
        <is>
          <t>Cash injection / ending cash shown separately as memo</t>
        </is>
      </c>
    </row>
    <row r="9"/>
    <row r="10"/>
    <row r="11">
      <c r="A11" s="14" t="inlineStr">
        <is>
          <t>說明</t>
        </is>
      </c>
    </row>
    <row r="12">
      <c r="A12" s="15" t="inlineStr">
        <is>
          <t>這份損益表是依據 12m-funding-plan.csv 製作，將營收、成本、費用與 EBITDA 分開呈現；現金注資與期末現金僅作補充資訊。</t>
        </is>
      </c>
    </row>
    <row r="13"/>
  </sheetData>
  <mergeCells count="2">
    <mergeCell ref="A1:D1"/>
    <mergeCell ref="A12:D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  <col width="28" customWidth="1" min="19" max="19"/>
  </cols>
  <sheetData>
    <row r="1">
      <c r="A1" s="16" t="inlineStr">
        <is>
          <t>Source note</t>
        </is>
      </c>
      <c r="B1" t="inlineStr">
        <is>
          <t>Based on internal operating plan</t>
        </is>
      </c>
    </row>
    <row r="2">
      <c r="A2" s="16" t="inlineStr">
        <is>
          <t>Source file</t>
        </is>
      </c>
      <c r="B2" t="inlineStr">
        <is>
          <t>docs/investor/12m-funding-plan.csv</t>
        </is>
      </c>
    </row>
    <row r="4">
      <c r="A4" s="17" t="inlineStr">
        <is>
          <t>month</t>
        </is>
      </c>
      <c r="B4" s="17" t="inlineStr">
        <is>
          <t>paid_learners</t>
        </is>
      </c>
      <c r="C4" s="17" t="inlineStr">
        <is>
          <t>course_revenue_twd</t>
        </is>
      </c>
      <c r="D4" s="17" t="inlineStr">
        <is>
          <t>hardware_revenue_twd</t>
        </is>
      </c>
      <c r="E4" s="17" t="inlineStr">
        <is>
          <t>monthly_revenue_twd</t>
        </is>
      </c>
      <c r="F4" s="17" t="inlineStr">
        <is>
          <t>course_cogs_twd</t>
        </is>
      </c>
      <c r="G4" s="17" t="inlineStr">
        <is>
          <t>hardware_cogs_twd</t>
        </is>
      </c>
      <c r="H4" s="17" t="inlineStr">
        <is>
          <t>logistics_cost_twd</t>
        </is>
      </c>
      <c r="I4" s="17" t="inlineStr">
        <is>
          <t>payment_fee_twd</t>
        </is>
      </c>
      <c r="J4" s="17" t="inlineStr">
        <is>
          <t>monthly_cogs_twd</t>
        </is>
      </c>
      <c r="K4" s="17" t="inlineStr">
        <is>
          <t>gross_profit_twd</t>
        </is>
      </c>
      <c r="L4" s="17" t="inlineStr">
        <is>
          <t>team_cost_twd</t>
        </is>
      </c>
      <c r="M4" s="17" t="inlineStr">
        <is>
          <t>infra_tools_twd</t>
        </is>
      </c>
      <c r="N4" s="17" t="inlineStr">
        <is>
          <t>marketing_twd</t>
        </is>
      </c>
      <c r="O4" s="17" t="inlineStr">
        <is>
          <t>other_opex_twd</t>
        </is>
      </c>
      <c r="P4" s="17" t="inlineStr">
        <is>
          <t>total_opex_twd</t>
        </is>
      </c>
      <c r="Q4" s="17" t="inlineStr">
        <is>
          <t>ebitda_twd</t>
        </is>
      </c>
      <c r="R4" s="17" t="inlineStr">
        <is>
          <t>cash_injection_twd</t>
        </is>
      </c>
      <c r="S4" s="17" t="inlineStr">
        <is>
          <t>ending_cash_twd</t>
        </is>
      </c>
      <c r="T4" s="17" t="inlineStr">
        <is>
          <t>source_file</t>
        </is>
      </c>
    </row>
    <row r="5">
      <c r="A5" s="18" t="inlineStr">
        <is>
          <t>M1</t>
        </is>
      </c>
      <c r="B5" s="19" t="inlineStr">
        <is>
          <t>300</t>
        </is>
      </c>
      <c r="C5" s="20" t="inlineStr">
        <is>
          <t>300000</t>
        </is>
      </c>
      <c r="D5" s="20" t="inlineStr">
        <is>
          <t>60000</t>
        </is>
      </c>
      <c r="E5" s="20" t="inlineStr">
        <is>
          <t>360000</t>
        </is>
      </c>
      <c r="F5" s="20" t="inlineStr">
        <is>
          <t>54000</t>
        </is>
      </c>
      <c r="G5" s="20" t="inlineStr">
        <is>
          <t>37200</t>
        </is>
      </c>
      <c r="H5" s="20" t="inlineStr">
        <is>
          <t>3000</t>
        </is>
      </c>
      <c r="I5" s="20" t="inlineStr">
        <is>
          <t>11520</t>
        </is>
      </c>
      <c r="J5" s="20" t="inlineStr">
        <is>
          <t>105720</t>
        </is>
      </c>
      <c r="K5" s="20" t="inlineStr">
        <is>
          <t>254280</t>
        </is>
      </c>
      <c r="L5" s="20" t="inlineStr">
        <is>
          <t>420000</t>
        </is>
      </c>
      <c r="M5" s="20" t="inlineStr">
        <is>
          <t>50000</t>
        </is>
      </c>
      <c r="N5" s="20" t="inlineStr">
        <is>
          <t>120000</t>
        </is>
      </c>
      <c r="O5" s="20" t="inlineStr">
        <is>
          <t>45000</t>
        </is>
      </c>
      <c r="P5" s="20" t="inlineStr">
        <is>
          <t>635000</t>
        </is>
      </c>
      <c r="Q5" s="20" t="inlineStr">
        <is>
          <t>-380720</t>
        </is>
      </c>
      <c r="R5" s="20" t="inlineStr">
        <is>
          <t>8000000</t>
        </is>
      </c>
      <c r="S5" s="18" t="inlineStr">
        <is>
          <t>7619280</t>
        </is>
      </c>
      <c r="T5" s="20" t="inlineStr">
        <is>
          <t>docs/investor/12m-funding-plan.csv</t>
        </is>
      </c>
    </row>
    <row r="6">
      <c r="A6" s="18" t="inlineStr">
        <is>
          <t>M2</t>
        </is>
      </c>
      <c r="B6" s="19" t="inlineStr">
        <is>
          <t>360</t>
        </is>
      </c>
      <c r="C6" s="20" t="inlineStr">
        <is>
          <t>360000</t>
        </is>
      </c>
      <c r="D6" s="20" t="inlineStr">
        <is>
          <t>72000</t>
        </is>
      </c>
      <c r="E6" s="20" t="inlineStr">
        <is>
          <t>432000</t>
        </is>
      </c>
      <c r="F6" s="20" t="inlineStr">
        <is>
          <t>64800</t>
        </is>
      </c>
      <c r="G6" s="20" t="inlineStr">
        <is>
          <t>44640</t>
        </is>
      </c>
      <c r="H6" s="20" t="inlineStr">
        <is>
          <t>3600</t>
        </is>
      </c>
      <c r="I6" s="20" t="inlineStr">
        <is>
          <t>13824</t>
        </is>
      </c>
      <c r="J6" s="20" t="inlineStr">
        <is>
          <t>126864</t>
        </is>
      </c>
      <c r="K6" s="20" t="inlineStr">
        <is>
          <t>305136</t>
        </is>
      </c>
      <c r="L6" s="20" t="inlineStr">
        <is>
          <t>420000</t>
        </is>
      </c>
      <c r="M6" s="20" t="inlineStr">
        <is>
          <t>50000</t>
        </is>
      </c>
      <c r="N6" s="20" t="inlineStr">
        <is>
          <t>130000</t>
        </is>
      </c>
      <c r="O6" s="20" t="inlineStr">
        <is>
          <t>45000</t>
        </is>
      </c>
      <c r="P6" s="20" t="inlineStr">
        <is>
          <t>645000</t>
        </is>
      </c>
      <c r="Q6" s="20" t="inlineStr">
        <is>
          <t>-339864</t>
        </is>
      </c>
      <c r="R6" s="20" t="inlineStr">
        <is>
          <t>0</t>
        </is>
      </c>
      <c r="S6" s="18" t="inlineStr">
        <is>
          <t>7279416</t>
        </is>
      </c>
      <c r="T6" s="20" t="inlineStr">
        <is>
          <t>docs/investor/12m-funding-plan.csv</t>
        </is>
      </c>
    </row>
    <row r="7">
      <c r="A7" s="18" t="inlineStr">
        <is>
          <t>M3</t>
        </is>
      </c>
      <c r="B7" s="19" t="inlineStr">
        <is>
          <t>430</t>
        </is>
      </c>
      <c r="C7" s="20" t="inlineStr">
        <is>
          <t>430000</t>
        </is>
      </c>
      <c r="D7" s="20" t="inlineStr">
        <is>
          <t>86000</t>
        </is>
      </c>
      <c r="E7" s="20" t="inlineStr">
        <is>
          <t>516000</t>
        </is>
      </c>
      <c r="F7" s="20" t="inlineStr">
        <is>
          <t>77400</t>
        </is>
      </c>
      <c r="G7" s="20" t="inlineStr">
        <is>
          <t>53320</t>
        </is>
      </c>
      <c r="H7" s="20" t="inlineStr">
        <is>
          <t>4300</t>
        </is>
      </c>
      <c r="I7" s="20" t="inlineStr">
        <is>
          <t>16512</t>
        </is>
      </c>
      <c r="J7" s="20" t="inlineStr">
        <is>
          <t>151532</t>
        </is>
      </c>
      <c r="K7" s="20" t="inlineStr">
        <is>
          <t>364468</t>
        </is>
      </c>
      <c r="L7" s="20" t="inlineStr">
        <is>
          <t>450000</t>
        </is>
      </c>
      <c r="M7" s="20" t="inlineStr">
        <is>
          <t>50000</t>
        </is>
      </c>
      <c r="N7" s="20" t="inlineStr">
        <is>
          <t>140000</t>
        </is>
      </c>
      <c r="O7" s="20" t="inlineStr">
        <is>
          <t>45000</t>
        </is>
      </c>
      <c r="P7" s="20" t="inlineStr">
        <is>
          <t>685000</t>
        </is>
      </c>
      <c r="Q7" s="20" t="inlineStr">
        <is>
          <t>-320532</t>
        </is>
      </c>
      <c r="R7" s="20" t="inlineStr">
        <is>
          <t>0</t>
        </is>
      </c>
      <c r="S7" s="18" t="inlineStr">
        <is>
          <t>6958884</t>
        </is>
      </c>
      <c r="T7" s="20" t="inlineStr">
        <is>
          <t>docs/investor/12m-funding-plan.csv</t>
        </is>
      </c>
    </row>
    <row r="8">
      <c r="A8" s="18" t="inlineStr">
        <is>
          <t>M4</t>
        </is>
      </c>
      <c r="B8" s="19" t="inlineStr">
        <is>
          <t>520</t>
        </is>
      </c>
      <c r="C8" s="20" t="inlineStr">
        <is>
          <t>520000</t>
        </is>
      </c>
      <c r="D8" s="20" t="inlineStr">
        <is>
          <t>104000</t>
        </is>
      </c>
      <c r="E8" s="20" t="inlineStr">
        <is>
          <t>624000</t>
        </is>
      </c>
      <c r="F8" s="20" t="inlineStr">
        <is>
          <t>93600</t>
        </is>
      </c>
      <c r="G8" s="20" t="inlineStr">
        <is>
          <t>64480</t>
        </is>
      </c>
      <c r="H8" s="20" t="inlineStr">
        <is>
          <t>5200</t>
        </is>
      </c>
      <c r="I8" s="20" t="inlineStr">
        <is>
          <t>19968</t>
        </is>
      </c>
      <c r="J8" s="20" t="inlineStr">
        <is>
          <t>183248</t>
        </is>
      </c>
      <c r="K8" s="20" t="inlineStr">
        <is>
          <t>440752</t>
        </is>
      </c>
      <c r="L8" s="20" t="inlineStr">
        <is>
          <t>450000</t>
        </is>
      </c>
      <c r="M8" s="20" t="inlineStr">
        <is>
          <t>55000</t>
        </is>
      </c>
      <c r="N8" s="20" t="inlineStr">
        <is>
          <t>150000</t>
        </is>
      </c>
      <c r="O8" s="20" t="inlineStr">
        <is>
          <t>50000</t>
        </is>
      </c>
      <c r="P8" s="20" t="inlineStr">
        <is>
          <t>705000</t>
        </is>
      </c>
      <c r="Q8" s="20" t="inlineStr">
        <is>
          <t>-264248</t>
        </is>
      </c>
      <c r="R8" s="20" t="inlineStr">
        <is>
          <t>0</t>
        </is>
      </c>
      <c r="S8" s="18" t="inlineStr">
        <is>
          <t>6694636</t>
        </is>
      </c>
      <c r="T8" s="20" t="inlineStr">
        <is>
          <t>docs/investor/12m-funding-plan.csv</t>
        </is>
      </c>
    </row>
    <row r="9">
      <c r="A9" s="18" t="inlineStr">
        <is>
          <t>M5</t>
        </is>
      </c>
      <c r="B9" s="19" t="inlineStr">
        <is>
          <t>620</t>
        </is>
      </c>
      <c r="C9" s="20" t="inlineStr">
        <is>
          <t>620000</t>
        </is>
      </c>
      <c r="D9" s="20" t="inlineStr">
        <is>
          <t>124000</t>
        </is>
      </c>
      <c r="E9" s="20" t="inlineStr">
        <is>
          <t>744000</t>
        </is>
      </c>
      <c r="F9" s="20" t="inlineStr">
        <is>
          <t>111600</t>
        </is>
      </c>
      <c r="G9" s="20" t="inlineStr">
        <is>
          <t>76880</t>
        </is>
      </c>
      <c r="H9" s="20" t="inlineStr">
        <is>
          <t>6200</t>
        </is>
      </c>
      <c r="I9" s="20" t="inlineStr">
        <is>
          <t>23808</t>
        </is>
      </c>
      <c r="J9" s="20" t="inlineStr">
        <is>
          <t>218488</t>
        </is>
      </c>
      <c r="K9" s="20" t="inlineStr">
        <is>
          <t>525512</t>
        </is>
      </c>
      <c r="L9" s="20" t="inlineStr">
        <is>
          <t>480000</t>
        </is>
      </c>
      <c r="M9" s="20" t="inlineStr">
        <is>
          <t>55000</t>
        </is>
      </c>
      <c r="N9" s="20" t="inlineStr">
        <is>
          <t>160000</t>
        </is>
      </c>
      <c r="O9" s="20" t="inlineStr">
        <is>
          <t>50000</t>
        </is>
      </c>
      <c r="P9" s="20" t="inlineStr">
        <is>
          <t>745000</t>
        </is>
      </c>
      <c r="Q9" s="20" t="inlineStr">
        <is>
          <t>-219488</t>
        </is>
      </c>
      <c r="R9" s="20" t="inlineStr">
        <is>
          <t>0</t>
        </is>
      </c>
      <c r="S9" s="18" t="inlineStr">
        <is>
          <t>6475148</t>
        </is>
      </c>
      <c r="T9" s="20" t="inlineStr">
        <is>
          <t>docs/investor/12m-funding-plan.csv</t>
        </is>
      </c>
    </row>
    <row r="10">
      <c r="A10" s="18" t="inlineStr">
        <is>
          <t>M6</t>
        </is>
      </c>
      <c r="B10" s="19" t="inlineStr">
        <is>
          <t>740</t>
        </is>
      </c>
      <c r="C10" s="20" t="inlineStr">
        <is>
          <t>740000</t>
        </is>
      </c>
      <c r="D10" s="20" t="inlineStr">
        <is>
          <t>148000</t>
        </is>
      </c>
      <c r="E10" s="20" t="inlineStr">
        <is>
          <t>888000</t>
        </is>
      </c>
      <c r="F10" s="20" t="inlineStr">
        <is>
          <t>133200</t>
        </is>
      </c>
      <c r="G10" s="20" t="inlineStr">
        <is>
          <t>91760</t>
        </is>
      </c>
      <c r="H10" s="20" t="inlineStr">
        <is>
          <t>7400</t>
        </is>
      </c>
      <c r="I10" s="20" t="inlineStr">
        <is>
          <t>28416</t>
        </is>
      </c>
      <c r="J10" s="20" t="inlineStr">
        <is>
          <t>260776</t>
        </is>
      </c>
      <c r="K10" s="20" t="inlineStr">
        <is>
          <t>627224</t>
        </is>
      </c>
      <c r="L10" s="20" t="inlineStr">
        <is>
          <t>480000</t>
        </is>
      </c>
      <c r="M10" s="20" t="inlineStr">
        <is>
          <t>60000</t>
        </is>
      </c>
      <c r="N10" s="20" t="inlineStr">
        <is>
          <t>170000</t>
        </is>
      </c>
      <c r="O10" s="20" t="inlineStr">
        <is>
          <t>50000</t>
        </is>
      </c>
      <c r="P10" s="20" t="inlineStr">
        <is>
          <t>760000</t>
        </is>
      </c>
      <c r="Q10" s="20" t="inlineStr">
        <is>
          <t>-132776</t>
        </is>
      </c>
      <c r="R10" s="20" t="inlineStr">
        <is>
          <t>0</t>
        </is>
      </c>
      <c r="S10" s="18" t="inlineStr">
        <is>
          <t>6342372</t>
        </is>
      </c>
      <c r="T10" s="20" t="inlineStr">
        <is>
          <t>docs/investor/12m-funding-plan.csv</t>
        </is>
      </c>
    </row>
    <row r="11">
      <c r="A11" s="18" t="inlineStr">
        <is>
          <t>M7</t>
        </is>
      </c>
      <c r="B11" s="19" t="inlineStr">
        <is>
          <t>900</t>
        </is>
      </c>
      <c r="C11" s="20" t="inlineStr">
        <is>
          <t>900000</t>
        </is>
      </c>
      <c r="D11" s="20" t="inlineStr">
        <is>
          <t>180000</t>
        </is>
      </c>
      <c r="E11" s="20" t="inlineStr">
        <is>
          <t>1080000</t>
        </is>
      </c>
      <c r="F11" s="20" t="inlineStr">
        <is>
          <t>162000</t>
        </is>
      </c>
      <c r="G11" s="20" t="inlineStr">
        <is>
          <t>111600</t>
        </is>
      </c>
      <c r="H11" s="20" t="inlineStr">
        <is>
          <t>9000</t>
        </is>
      </c>
      <c r="I11" s="20" t="inlineStr">
        <is>
          <t>34560</t>
        </is>
      </c>
      <c r="J11" s="20" t="inlineStr">
        <is>
          <t>317160</t>
        </is>
      </c>
      <c r="K11" s="20" t="inlineStr">
        <is>
          <t>762840</t>
        </is>
      </c>
      <c r="L11" s="20" t="inlineStr">
        <is>
          <t>520000</t>
        </is>
      </c>
      <c r="M11" s="20" t="inlineStr">
        <is>
          <t>60000</t>
        </is>
      </c>
      <c r="N11" s="20" t="inlineStr">
        <is>
          <t>190000</t>
        </is>
      </c>
      <c r="O11" s="20" t="inlineStr">
        <is>
          <t>55000</t>
        </is>
      </c>
      <c r="P11" s="20" t="inlineStr">
        <is>
          <t>825000</t>
        </is>
      </c>
      <c r="Q11" s="20" t="inlineStr">
        <is>
          <t>-62160</t>
        </is>
      </c>
      <c r="R11" s="20" t="inlineStr">
        <is>
          <t>0</t>
        </is>
      </c>
      <c r="S11" s="18" t="inlineStr">
        <is>
          <t>6280212</t>
        </is>
      </c>
      <c r="T11" s="20" t="inlineStr">
        <is>
          <t>docs/investor/12m-funding-plan.csv</t>
        </is>
      </c>
    </row>
    <row r="12">
      <c r="A12" s="18" t="inlineStr">
        <is>
          <t>M8</t>
        </is>
      </c>
      <c r="B12" s="19" t="inlineStr">
        <is>
          <t>1100</t>
        </is>
      </c>
      <c r="C12" s="20" t="inlineStr">
        <is>
          <t>1100000</t>
        </is>
      </c>
      <c r="D12" s="20" t="inlineStr">
        <is>
          <t>220000</t>
        </is>
      </c>
      <c r="E12" s="20" t="inlineStr">
        <is>
          <t>1320000</t>
        </is>
      </c>
      <c r="F12" s="20" t="inlineStr">
        <is>
          <t>198000</t>
        </is>
      </c>
      <c r="G12" s="20" t="inlineStr">
        <is>
          <t>136400</t>
        </is>
      </c>
      <c r="H12" s="20" t="inlineStr">
        <is>
          <t>11000</t>
        </is>
      </c>
      <c r="I12" s="20" t="inlineStr">
        <is>
          <t>42240</t>
        </is>
      </c>
      <c r="J12" s="20" t="inlineStr">
        <is>
          <t>387640</t>
        </is>
      </c>
      <c r="K12" s="20" t="inlineStr">
        <is>
          <t>932360</t>
        </is>
      </c>
      <c r="L12" s="20" t="inlineStr">
        <is>
          <t>520000</t>
        </is>
      </c>
      <c r="M12" s="20" t="inlineStr">
        <is>
          <t>65000</t>
        </is>
      </c>
      <c r="N12" s="20" t="inlineStr">
        <is>
          <t>210000</t>
        </is>
      </c>
      <c r="O12" s="20" t="inlineStr">
        <is>
          <t>55000</t>
        </is>
      </c>
      <c r="P12" s="20" t="inlineStr">
        <is>
          <t>850000</t>
        </is>
      </c>
      <c r="Q12" s="20" t="inlineStr">
        <is>
          <t>82360</t>
        </is>
      </c>
      <c r="R12" s="20" t="inlineStr">
        <is>
          <t>0</t>
        </is>
      </c>
      <c r="S12" s="18" t="inlineStr">
        <is>
          <t>6362572</t>
        </is>
      </c>
      <c r="T12" s="20" t="inlineStr">
        <is>
          <t>docs/investor/12m-funding-plan.csv</t>
        </is>
      </c>
    </row>
    <row r="13">
      <c r="A13" s="18" t="inlineStr">
        <is>
          <t>M9</t>
        </is>
      </c>
      <c r="B13" s="19" t="inlineStr">
        <is>
          <t>1350</t>
        </is>
      </c>
      <c r="C13" s="20" t="inlineStr">
        <is>
          <t>1350000</t>
        </is>
      </c>
      <c r="D13" s="20" t="inlineStr">
        <is>
          <t>270000</t>
        </is>
      </c>
      <c r="E13" s="20" t="inlineStr">
        <is>
          <t>1620000</t>
        </is>
      </c>
      <c r="F13" s="20" t="inlineStr">
        <is>
          <t>243000</t>
        </is>
      </c>
      <c r="G13" s="20" t="inlineStr">
        <is>
          <t>167400</t>
        </is>
      </c>
      <c r="H13" s="20" t="inlineStr">
        <is>
          <t>13500</t>
        </is>
      </c>
      <c r="I13" s="20" t="inlineStr">
        <is>
          <t>51840</t>
        </is>
      </c>
      <c r="J13" s="20" t="inlineStr">
        <is>
          <t>475740</t>
        </is>
      </c>
      <c r="K13" s="20" t="inlineStr">
        <is>
          <t>1144260</t>
        </is>
      </c>
      <c r="L13" s="20" t="inlineStr">
        <is>
          <t>560000</t>
        </is>
      </c>
      <c r="M13" s="20" t="inlineStr">
        <is>
          <t>65000</t>
        </is>
      </c>
      <c r="N13" s="20" t="inlineStr">
        <is>
          <t>230000</t>
        </is>
      </c>
      <c r="O13" s="20" t="inlineStr">
        <is>
          <t>60000</t>
        </is>
      </c>
      <c r="P13" s="20" t="inlineStr">
        <is>
          <t>915000</t>
        </is>
      </c>
      <c r="Q13" s="20" t="inlineStr">
        <is>
          <t>229260</t>
        </is>
      </c>
      <c r="R13" s="20" t="inlineStr">
        <is>
          <t>0</t>
        </is>
      </c>
      <c r="S13" s="18" t="inlineStr">
        <is>
          <t>6591832</t>
        </is>
      </c>
      <c r="T13" s="20" t="inlineStr">
        <is>
          <t>docs/investor/12m-funding-plan.csv</t>
        </is>
      </c>
    </row>
    <row r="14">
      <c r="A14" s="18" t="inlineStr">
        <is>
          <t>M10</t>
        </is>
      </c>
      <c r="B14" s="19" t="inlineStr">
        <is>
          <t>1650</t>
        </is>
      </c>
      <c r="C14" s="20" t="inlineStr">
        <is>
          <t>1650000</t>
        </is>
      </c>
      <c r="D14" s="20" t="inlineStr">
        <is>
          <t>330000</t>
        </is>
      </c>
      <c r="E14" s="20" t="inlineStr">
        <is>
          <t>1980000</t>
        </is>
      </c>
      <c r="F14" s="20" t="inlineStr">
        <is>
          <t>297000</t>
        </is>
      </c>
      <c r="G14" s="20" t="inlineStr">
        <is>
          <t>204600</t>
        </is>
      </c>
      <c r="H14" s="20" t="inlineStr">
        <is>
          <t>16500</t>
        </is>
      </c>
      <c r="I14" s="20" t="inlineStr">
        <is>
          <t>63360</t>
        </is>
      </c>
      <c r="J14" s="20" t="inlineStr">
        <is>
          <t>581460</t>
        </is>
      </c>
      <c r="K14" s="20" t="inlineStr">
        <is>
          <t>1398540</t>
        </is>
      </c>
      <c r="L14" s="20" t="inlineStr">
        <is>
          <t>560000</t>
        </is>
      </c>
      <c r="M14" s="20" t="inlineStr">
        <is>
          <t>70000</t>
        </is>
      </c>
      <c r="N14" s="20" t="inlineStr">
        <is>
          <t>250000</t>
        </is>
      </c>
      <c r="O14" s="20" t="inlineStr">
        <is>
          <t>60000</t>
        </is>
      </c>
      <c r="P14" s="20" t="inlineStr">
        <is>
          <t>940000</t>
        </is>
      </c>
      <c r="Q14" s="20" t="inlineStr">
        <is>
          <t>458540</t>
        </is>
      </c>
      <c r="R14" s="20" t="inlineStr">
        <is>
          <t>0</t>
        </is>
      </c>
      <c r="S14" s="18" t="inlineStr">
        <is>
          <t>7050372</t>
        </is>
      </c>
      <c r="T14" s="20" t="inlineStr">
        <is>
          <t>docs/investor/12m-funding-plan.csv</t>
        </is>
      </c>
    </row>
    <row r="15">
      <c r="A15" s="18" t="inlineStr">
        <is>
          <t>M11</t>
        </is>
      </c>
      <c r="B15" s="19" t="inlineStr">
        <is>
          <t>1950</t>
        </is>
      </c>
      <c r="C15" s="20" t="inlineStr">
        <is>
          <t>1950000</t>
        </is>
      </c>
      <c r="D15" s="20" t="inlineStr">
        <is>
          <t>390000</t>
        </is>
      </c>
      <c r="E15" s="20" t="inlineStr">
        <is>
          <t>2340000</t>
        </is>
      </c>
      <c r="F15" s="20" t="inlineStr">
        <is>
          <t>351000</t>
        </is>
      </c>
      <c r="G15" s="20" t="inlineStr">
        <is>
          <t>241800</t>
        </is>
      </c>
      <c r="H15" s="20" t="inlineStr">
        <is>
          <t>19500</t>
        </is>
      </c>
      <c r="I15" s="20" t="inlineStr">
        <is>
          <t>74880</t>
        </is>
      </c>
      <c r="J15" s="20" t="inlineStr">
        <is>
          <t>687180</t>
        </is>
      </c>
      <c r="K15" s="20" t="inlineStr">
        <is>
          <t>1652820</t>
        </is>
      </c>
      <c r="L15" s="20" t="inlineStr">
        <is>
          <t>600000</t>
        </is>
      </c>
      <c r="M15" s="20" t="inlineStr">
        <is>
          <t>70000</t>
        </is>
      </c>
      <c r="N15" s="20" t="inlineStr">
        <is>
          <t>270000</t>
        </is>
      </c>
      <c r="O15" s="20" t="inlineStr">
        <is>
          <t>65000</t>
        </is>
      </c>
      <c r="P15" s="20" t="inlineStr">
        <is>
          <t>1005000</t>
        </is>
      </c>
      <c r="Q15" s="20" t="inlineStr">
        <is>
          <t>647820</t>
        </is>
      </c>
      <c r="R15" s="20" t="inlineStr">
        <is>
          <t>0</t>
        </is>
      </c>
      <c r="S15" s="18" t="inlineStr">
        <is>
          <t>7698192</t>
        </is>
      </c>
      <c r="T15" s="20" t="inlineStr">
        <is>
          <t>docs/investor/12m-funding-plan.csv</t>
        </is>
      </c>
    </row>
    <row r="16">
      <c r="A16" s="18" t="inlineStr">
        <is>
          <t>M12</t>
        </is>
      </c>
      <c r="B16" s="19" t="inlineStr">
        <is>
          <t>2200</t>
        </is>
      </c>
      <c r="C16" s="20" t="inlineStr">
        <is>
          <t>2200000</t>
        </is>
      </c>
      <c r="D16" s="20" t="inlineStr">
        <is>
          <t>440000</t>
        </is>
      </c>
      <c r="E16" s="20" t="inlineStr">
        <is>
          <t>2640000</t>
        </is>
      </c>
      <c r="F16" s="20" t="inlineStr">
        <is>
          <t>396000</t>
        </is>
      </c>
      <c r="G16" s="20" t="inlineStr">
        <is>
          <t>272800</t>
        </is>
      </c>
      <c r="H16" s="20" t="inlineStr">
        <is>
          <t>22000</t>
        </is>
      </c>
      <c r="I16" s="20" t="inlineStr">
        <is>
          <t>84480</t>
        </is>
      </c>
      <c r="J16" s="20" t="inlineStr">
        <is>
          <t>775280</t>
        </is>
      </c>
      <c r="K16" s="20" t="inlineStr">
        <is>
          <t>1864720</t>
        </is>
      </c>
      <c r="L16" s="20" t="inlineStr">
        <is>
          <t>600000</t>
        </is>
      </c>
      <c r="M16" s="20" t="inlineStr">
        <is>
          <t>70000</t>
        </is>
      </c>
      <c r="N16" s="20" t="inlineStr">
        <is>
          <t>300000</t>
        </is>
      </c>
      <c r="O16" s="20" t="inlineStr">
        <is>
          <t>65000</t>
        </is>
      </c>
      <c r="P16" s="20" t="inlineStr">
        <is>
          <t>1035000</t>
        </is>
      </c>
      <c r="Q16" s="20" t="inlineStr">
        <is>
          <t>829720</t>
        </is>
      </c>
      <c r="R16" s="20" t="inlineStr">
        <is>
          <t>0</t>
        </is>
      </c>
      <c r="S16" s="18" t="inlineStr">
        <is>
          <t>8527912</t>
        </is>
      </c>
      <c r="T16" s="20" t="inlineStr">
        <is>
          <t>docs/investor/12m-funding-plan.csv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12 個月損益表</t>
        </is>
      </c>
    </row>
    <row r="2">
      <c r="A2" s="2" t="inlineStr">
        <is>
          <t>來源：docs/investor/12m-funding-plan.csv</t>
        </is>
      </c>
    </row>
    <row r="3"/>
    <row r="4">
      <c r="A4" s="21" t="inlineStr">
        <is>
          <t>項目</t>
        </is>
      </c>
      <c r="C4" s="22" t="inlineStr">
        <is>
          <t>M1</t>
        </is>
      </c>
      <c r="D4" s="22" t="inlineStr">
        <is>
          <t>M2</t>
        </is>
      </c>
      <c r="E4" s="22" t="inlineStr">
        <is>
          <t>M3</t>
        </is>
      </c>
      <c r="F4" s="22" t="inlineStr">
        <is>
          <t>M4</t>
        </is>
      </c>
      <c r="G4" s="22" t="inlineStr">
        <is>
          <t>M5</t>
        </is>
      </c>
      <c r="H4" s="22" t="inlineStr">
        <is>
          <t>M6</t>
        </is>
      </c>
      <c r="I4" s="22" t="inlineStr">
        <is>
          <t>M7</t>
        </is>
      </c>
      <c r="J4" s="22" t="inlineStr">
        <is>
          <t>M8</t>
        </is>
      </c>
      <c r="K4" s="22" t="inlineStr">
        <is>
          <t>M9</t>
        </is>
      </c>
      <c r="L4" s="22" t="inlineStr">
        <is>
          <t>M10</t>
        </is>
      </c>
      <c r="M4" s="22" t="inlineStr">
        <is>
          <t>M11</t>
        </is>
      </c>
      <c r="N4" s="22" t="inlineStr">
        <is>
          <t>M12</t>
        </is>
      </c>
    </row>
    <row r="5"/>
    <row r="6">
      <c r="A6" s="23" t="inlineStr">
        <is>
          <t>Revenue</t>
        </is>
      </c>
    </row>
    <row r="7" ht="20" customHeight="1">
      <c r="A7" s="24" t="inlineStr">
        <is>
          <t>Paid learners</t>
        </is>
      </c>
      <c r="C7" s="25">
        <f>'Source Data'!$B$5</f>
        <v/>
      </c>
      <c r="D7" s="25">
        <f>'Source Data'!$B$6</f>
        <v/>
      </c>
      <c r="E7" s="25">
        <f>'Source Data'!$B$7</f>
        <v/>
      </c>
      <c r="F7" s="25">
        <f>'Source Data'!$B$8</f>
        <v/>
      </c>
      <c r="G7" s="25">
        <f>'Source Data'!$B$9</f>
        <v/>
      </c>
      <c r="H7" s="25">
        <f>'Source Data'!$B$10</f>
        <v/>
      </c>
      <c r="I7" s="25">
        <f>'Source Data'!$B$11</f>
        <v/>
      </c>
      <c r="J7" s="25">
        <f>'Source Data'!$B$12</f>
        <v/>
      </c>
      <c r="K7" s="25">
        <f>'Source Data'!$B$13</f>
        <v/>
      </c>
      <c r="L7" s="25">
        <f>'Source Data'!$B$14</f>
        <v/>
      </c>
      <c r="M7" s="25">
        <f>'Source Data'!$B$15</f>
        <v/>
      </c>
      <c r="N7" s="25">
        <f>'Source Data'!$B$16</f>
        <v/>
      </c>
    </row>
    <row r="8" ht="20" customHeight="1">
      <c r="A8" s="24" t="inlineStr">
        <is>
          <t>Course revenue</t>
        </is>
      </c>
      <c r="C8" s="26">
        <f>'Source Data'!$C$5</f>
        <v/>
      </c>
      <c r="D8" s="26">
        <f>'Source Data'!$C$6</f>
        <v/>
      </c>
      <c r="E8" s="26">
        <f>'Source Data'!$C$7</f>
        <v/>
      </c>
      <c r="F8" s="26">
        <f>'Source Data'!$C$8</f>
        <v/>
      </c>
      <c r="G8" s="26">
        <f>'Source Data'!$C$9</f>
        <v/>
      </c>
      <c r="H8" s="26">
        <f>'Source Data'!$C$10</f>
        <v/>
      </c>
      <c r="I8" s="26">
        <f>'Source Data'!$C$11</f>
        <v/>
      </c>
      <c r="J8" s="26">
        <f>'Source Data'!$C$12</f>
        <v/>
      </c>
      <c r="K8" s="26">
        <f>'Source Data'!$C$13</f>
        <v/>
      </c>
      <c r="L8" s="26">
        <f>'Source Data'!$C$14</f>
        <v/>
      </c>
      <c r="M8" s="26">
        <f>'Source Data'!$C$15</f>
        <v/>
      </c>
      <c r="N8" s="26">
        <f>'Source Data'!$C$16</f>
        <v/>
      </c>
    </row>
    <row r="9" ht="20" customHeight="1">
      <c r="A9" s="24" t="inlineStr">
        <is>
          <t>Hardware revenue</t>
        </is>
      </c>
      <c r="C9" s="26">
        <f>'Source Data'!$D$5</f>
        <v/>
      </c>
      <c r="D9" s="26">
        <f>'Source Data'!$D$6</f>
        <v/>
      </c>
      <c r="E9" s="26">
        <f>'Source Data'!$D$7</f>
        <v/>
      </c>
      <c r="F9" s="26">
        <f>'Source Data'!$D$8</f>
        <v/>
      </c>
      <c r="G9" s="26">
        <f>'Source Data'!$D$9</f>
        <v/>
      </c>
      <c r="H9" s="26">
        <f>'Source Data'!$D$10</f>
        <v/>
      </c>
      <c r="I9" s="26">
        <f>'Source Data'!$D$11</f>
        <v/>
      </c>
      <c r="J9" s="26">
        <f>'Source Data'!$D$12</f>
        <v/>
      </c>
      <c r="K9" s="26">
        <f>'Source Data'!$D$13</f>
        <v/>
      </c>
      <c r="L9" s="26">
        <f>'Source Data'!$D$14</f>
        <v/>
      </c>
      <c r="M9" s="26">
        <f>'Source Data'!$D$15</f>
        <v/>
      </c>
      <c r="N9" s="26">
        <f>'Source Data'!$D$16</f>
        <v/>
      </c>
    </row>
    <row r="10" ht="20" customHeight="1">
      <c r="A10" s="27" t="inlineStr">
        <is>
          <t>Total revenue</t>
        </is>
      </c>
      <c r="B10" s="28" t="n"/>
      <c r="C10" s="29">
        <f>C8+C9</f>
        <v/>
      </c>
      <c r="D10" s="29">
        <f>D8+D9</f>
        <v/>
      </c>
      <c r="E10" s="29">
        <f>E8+E9</f>
        <v/>
      </c>
      <c r="F10" s="29">
        <f>F8+F9</f>
        <v/>
      </c>
      <c r="G10" s="29">
        <f>G8+G9</f>
        <v/>
      </c>
      <c r="H10" s="29">
        <f>H8+H9</f>
        <v/>
      </c>
      <c r="I10" s="29">
        <f>I8+I9</f>
        <v/>
      </c>
      <c r="J10" s="29">
        <f>J8+J9</f>
        <v/>
      </c>
      <c r="K10" s="29">
        <f>K8+K9</f>
        <v/>
      </c>
      <c r="L10" s="29">
        <f>L8+L9</f>
        <v/>
      </c>
      <c r="M10" s="29">
        <f>M8+M9</f>
        <v/>
      </c>
      <c r="N10" s="29">
        <f>N8+N9</f>
        <v/>
      </c>
    </row>
    <row r="11">
      <c r="A11" s="23" t="inlineStr">
        <is>
          <t>Cost of Sales</t>
        </is>
      </c>
    </row>
    <row r="12" ht="20" customHeight="1">
      <c r="A12" s="24" t="inlineStr">
        <is>
          <t>Course COGS</t>
        </is>
      </c>
      <c r="C12" s="26">
        <f>'Source Data'!$F$5</f>
        <v/>
      </c>
      <c r="D12" s="26">
        <f>'Source Data'!$F$6</f>
        <v/>
      </c>
      <c r="E12" s="26">
        <f>'Source Data'!$F$7</f>
        <v/>
      </c>
      <c r="F12" s="26">
        <f>'Source Data'!$F$8</f>
        <v/>
      </c>
      <c r="G12" s="26">
        <f>'Source Data'!$F$9</f>
        <v/>
      </c>
      <c r="H12" s="26">
        <f>'Source Data'!$F$10</f>
        <v/>
      </c>
      <c r="I12" s="26">
        <f>'Source Data'!$F$11</f>
        <v/>
      </c>
      <c r="J12" s="26">
        <f>'Source Data'!$F$12</f>
        <v/>
      </c>
      <c r="K12" s="26">
        <f>'Source Data'!$F$13</f>
        <v/>
      </c>
      <c r="L12" s="26">
        <f>'Source Data'!$F$14</f>
        <v/>
      </c>
      <c r="M12" s="26">
        <f>'Source Data'!$F$15</f>
        <v/>
      </c>
      <c r="N12" s="26">
        <f>'Source Data'!$F$16</f>
        <v/>
      </c>
    </row>
    <row r="13" ht="20" customHeight="1">
      <c r="A13" s="24" t="inlineStr">
        <is>
          <t>Hardware COGS</t>
        </is>
      </c>
      <c r="C13" s="26">
        <f>'Source Data'!$G$5</f>
        <v/>
      </c>
      <c r="D13" s="26">
        <f>'Source Data'!$G$6</f>
        <v/>
      </c>
      <c r="E13" s="26">
        <f>'Source Data'!$G$7</f>
        <v/>
      </c>
      <c r="F13" s="26">
        <f>'Source Data'!$G$8</f>
        <v/>
      </c>
      <c r="G13" s="26">
        <f>'Source Data'!$G$9</f>
        <v/>
      </c>
      <c r="H13" s="26">
        <f>'Source Data'!$G$10</f>
        <v/>
      </c>
      <c r="I13" s="26">
        <f>'Source Data'!$G$11</f>
        <v/>
      </c>
      <c r="J13" s="26">
        <f>'Source Data'!$G$12</f>
        <v/>
      </c>
      <c r="K13" s="26">
        <f>'Source Data'!$G$13</f>
        <v/>
      </c>
      <c r="L13" s="26">
        <f>'Source Data'!$G$14</f>
        <v/>
      </c>
      <c r="M13" s="26">
        <f>'Source Data'!$G$15</f>
        <v/>
      </c>
      <c r="N13" s="26">
        <f>'Source Data'!$G$16</f>
        <v/>
      </c>
    </row>
    <row r="14" ht="20" customHeight="1">
      <c r="A14" s="24" t="inlineStr">
        <is>
          <t>Logistics cost</t>
        </is>
      </c>
      <c r="C14" s="26">
        <f>'Source Data'!$H$5</f>
        <v/>
      </c>
      <c r="D14" s="26">
        <f>'Source Data'!$H$6</f>
        <v/>
      </c>
      <c r="E14" s="26">
        <f>'Source Data'!$H$7</f>
        <v/>
      </c>
      <c r="F14" s="26">
        <f>'Source Data'!$H$8</f>
        <v/>
      </c>
      <c r="G14" s="26">
        <f>'Source Data'!$H$9</f>
        <v/>
      </c>
      <c r="H14" s="26">
        <f>'Source Data'!$H$10</f>
        <v/>
      </c>
      <c r="I14" s="26">
        <f>'Source Data'!$H$11</f>
        <v/>
      </c>
      <c r="J14" s="26">
        <f>'Source Data'!$H$12</f>
        <v/>
      </c>
      <c r="K14" s="26">
        <f>'Source Data'!$H$13</f>
        <v/>
      </c>
      <c r="L14" s="26">
        <f>'Source Data'!$H$14</f>
        <v/>
      </c>
      <c r="M14" s="26">
        <f>'Source Data'!$H$15</f>
        <v/>
      </c>
      <c r="N14" s="26">
        <f>'Source Data'!$H$16</f>
        <v/>
      </c>
    </row>
    <row r="15" ht="20" customHeight="1">
      <c r="A15" s="24" t="inlineStr">
        <is>
          <t>Payment fee</t>
        </is>
      </c>
      <c r="C15" s="26">
        <f>'Source Data'!$I$5</f>
        <v/>
      </c>
      <c r="D15" s="26">
        <f>'Source Data'!$I$6</f>
        <v/>
      </c>
      <c r="E15" s="26">
        <f>'Source Data'!$I$7</f>
        <v/>
      </c>
      <c r="F15" s="26">
        <f>'Source Data'!$I$8</f>
        <v/>
      </c>
      <c r="G15" s="26">
        <f>'Source Data'!$I$9</f>
        <v/>
      </c>
      <c r="H15" s="26">
        <f>'Source Data'!$I$10</f>
        <v/>
      </c>
      <c r="I15" s="26">
        <f>'Source Data'!$I$11</f>
        <v/>
      </c>
      <c r="J15" s="26">
        <f>'Source Data'!$I$12</f>
        <v/>
      </c>
      <c r="K15" s="26">
        <f>'Source Data'!$I$13</f>
        <v/>
      </c>
      <c r="L15" s="26">
        <f>'Source Data'!$I$14</f>
        <v/>
      </c>
      <c r="M15" s="26">
        <f>'Source Data'!$I$15</f>
        <v/>
      </c>
      <c r="N15" s="26">
        <f>'Source Data'!$I$16</f>
        <v/>
      </c>
    </row>
    <row r="16" ht="20" customHeight="1">
      <c r="A16" s="27" t="inlineStr">
        <is>
          <t>Total COGS</t>
        </is>
      </c>
      <c r="B16" s="28" t="n"/>
      <c r="C16" s="29">
        <f>SUM(C12:C15)</f>
        <v/>
      </c>
      <c r="D16" s="29">
        <f>SUM(D12:D15)</f>
        <v/>
      </c>
      <c r="E16" s="29">
        <f>SUM(E12:E15)</f>
        <v/>
      </c>
      <c r="F16" s="29">
        <f>SUM(F12:F15)</f>
        <v/>
      </c>
      <c r="G16" s="29">
        <f>SUM(G12:G15)</f>
        <v/>
      </c>
      <c r="H16" s="29">
        <f>SUM(H12:H15)</f>
        <v/>
      </c>
      <c r="I16" s="29">
        <f>SUM(I12:I15)</f>
        <v/>
      </c>
      <c r="J16" s="29">
        <f>SUM(J12:J15)</f>
        <v/>
      </c>
      <c r="K16" s="29">
        <f>SUM(K12:K15)</f>
        <v/>
      </c>
      <c r="L16" s="29">
        <f>SUM(L12:L15)</f>
        <v/>
      </c>
      <c r="M16" s="29">
        <f>SUM(M12:M15)</f>
        <v/>
      </c>
      <c r="N16" s="29">
        <f>SUM(N12:N15)</f>
        <v/>
      </c>
    </row>
    <row r="17" ht="20" customHeight="1">
      <c r="A17" s="27" t="inlineStr">
        <is>
          <t>Gross profit</t>
        </is>
      </c>
      <c r="B17" s="28" t="n"/>
      <c r="C17" s="29">
        <f>C10-C16</f>
        <v/>
      </c>
      <c r="D17" s="29">
        <f>D10-D16</f>
        <v/>
      </c>
      <c r="E17" s="29">
        <f>E10-E16</f>
        <v/>
      </c>
      <c r="F17" s="29">
        <f>F10-F16</f>
        <v/>
      </c>
      <c r="G17" s="29">
        <f>G10-G16</f>
        <v/>
      </c>
      <c r="H17" s="29">
        <f>H10-H16</f>
        <v/>
      </c>
      <c r="I17" s="29">
        <f>I10-I16</f>
        <v/>
      </c>
      <c r="J17" s="29">
        <f>J10-J16</f>
        <v/>
      </c>
      <c r="K17" s="29">
        <f>K10-K16</f>
        <v/>
      </c>
      <c r="L17" s="29">
        <f>L10-L16</f>
        <v/>
      </c>
      <c r="M17" s="29">
        <f>M10-M16</f>
        <v/>
      </c>
      <c r="N17" s="29">
        <f>N10-N16</f>
        <v/>
      </c>
    </row>
    <row r="18" ht="20" customHeight="1">
      <c r="A18" s="30" t="inlineStr">
        <is>
          <t>Gross margin %</t>
        </is>
      </c>
      <c r="C18" s="31">
        <f>IFERROR(C17/C10,0)</f>
        <v/>
      </c>
      <c r="D18" s="31">
        <f>IFERROR(D17/D10,0)</f>
        <v/>
      </c>
      <c r="E18" s="31">
        <f>IFERROR(E17/E10,0)</f>
        <v/>
      </c>
      <c r="F18" s="31">
        <f>IFERROR(F17/F10,0)</f>
        <v/>
      </c>
      <c r="G18" s="31">
        <f>IFERROR(G17/G10,0)</f>
        <v/>
      </c>
      <c r="H18" s="31">
        <f>IFERROR(H17/H10,0)</f>
        <v/>
      </c>
      <c r="I18" s="31">
        <f>IFERROR(I17/I10,0)</f>
        <v/>
      </c>
      <c r="J18" s="31">
        <f>IFERROR(J17/J10,0)</f>
        <v/>
      </c>
      <c r="K18" s="31">
        <f>IFERROR(K17/K10,0)</f>
        <v/>
      </c>
      <c r="L18" s="31">
        <f>IFERROR(L17/L10,0)</f>
        <v/>
      </c>
      <c r="M18" s="31">
        <f>IFERROR(M17/M10,0)</f>
        <v/>
      </c>
      <c r="N18" s="31">
        <f>IFERROR(N17/N10,0)</f>
        <v/>
      </c>
    </row>
    <row r="19"/>
    <row r="20">
      <c r="A20" s="23" t="inlineStr">
        <is>
          <t>Operating Expenses</t>
        </is>
      </c>
    </row>
    <row r="21" ht="20" customHeight="1">
      <c r="A21" s="24" t="inlineStr">
        <is>
          <t>Team cost</t>
        </is>
      </c>
      <c r="C21" s="26">
        <f>'Source Data'!$L$5</f>
        <v/>
      </c>
      <c r="D21" s="26">
        <f>'Source Data'!$L$6</f>
        <v/>
      </c>
      <c r="E21" s="26">
        <f>'Source Data'!$L$7</f>
        <v/>
      </c>
      <c r="F21" s="26">
        <f>'Source Data'!$L$8</f>
        <v/>
      </c>
      <c r="G21" s="26">
        <f>'Source Data'!$L$9</f>
        <v/>
      </c>
      <c r="H21" s="26">
        <f>'Source Data'!$L$10</f>
        <v/>
      </c>
      <c r="I21" s="26">
        <f>'Source Data'!$L$11</f>
        <v/>
      </c>
      <c r="J21" s="26">
        <f>'Source Data'!$L$12</f>
        <v/>
      </c>
      <c r="K21" s="26">
        <f>'Source Data'!$L$13</f>
        <v/>
      </c>
      <c r="L21" s="26">
        <f>'Source Data'!$L$14</f>
        <v/>
      </c>
      <c r="M21" s="26">
        <f>'Source Data'!$L$15</f>
        <v/>
      </c>
      <c r="N21" s="26">
        <f>'Source Data'!$L$16</f>
        <v/>
      </c>
    </row>
    <row r="22" ht="20" customHeight="1">
      <c r="A22" s="24" t="inlineStr">
        <is>
          <t>Infra / tools</t>
        </is>
      </c>
      <c r="C22" s="26">
        <f>'Source Data'!$M$5</f>
        <v/>
      </c>
      <c r="D22" s="26">
        <f>'Source Data'!$M$6</f>
        <v/>
      </c>
      <c r="E22" s="26">
        <f>'Source Data'!$M$7</f>
        <v/>
      </c>
      <c r="F22" s="26">
        <f>'Source Data'!$M$8</f>
        <v/>
      </c>
      <c r="G22" s="26">
        <f>'Source Data'!$M$9</f>
        <v/>
      </c>
      <c r="H22" s="26">
        <f>'Source Data'!$M$10</f>
        <v/>
      </c>
      <c r="I22" s="26">
        <f>'Source Data'!$M$11</f>
        <v/>
      </c>
      <c r="J22" s="26">
        <f>'Source Data'!$M$12</f>
        <v/>
      </c>
      <c r="K22" s="26">
        <f>'Source Data'!$M$13</f>
        <v/>
      </c>
      <c r="L22" s="26">
        <f>'Source Data'!$M$14</f>
        <v/>
      </c>
      <c r="M22" s="26">
        <f>'Source Data'!$M$15</f>
        <v/>
      </c>
      <c r="N22" s="26">
        <f>'Source Data'!$M$16</f>
        <v/>
      </c>
    </row>
    <row r="23" ht="20" customHeight="1">
      <c r="A23" s="24" t="inlineStr">
        <is>
          <t>Marketing</t>
        </is>
      </c>
      <c r="C23" s="26">
        <f>'Source Data'!$N$5</f>
        <v/>
      </c>
      <c r="D23" s="26">
        <f>'Source Data'!$N$6</f>
        <v/>
      </c>
      <c r="E23" s="26">
        <f>'Source Data'!$N$7</f>
        <v/>
      </c>
      <c r="F23" s="26">
        <f>'Source Data'!$N$8</f>
        <v/>
      </c>
      <c r="G23" s="26">
        <f>'Source Data'!$N$9</f>
        <v/>
      </c>
      <c r="H23" s="26">
        <f>'Source Data'!$N$10</f>
        <v/>
      </c>
      <c r="I23" s="26">
        <f>'Source Data'!$N$11</f>
        <v/>
      </c>
      <c r="J23" s="26">
        <f>'Source Data'!$N$12</f>
        <v/>
      </c>
      <c r="K23" s="26">
        <f>'Source Data'!$N$13</f>
        <v/>
      </c>
      <c r="L23" s="26">
        <f>'Source Data'!$N$14</f>
        <v/>
      </c>
      <c r="M23" s="26">
        <f>'Source Data'!$N$15</f>
        <v/>
      </c>
      <c r="N23" s="26">
        <f>'Source Data'!$N$16</f>
        <v/>
      </c>
    </row>
    <row r="24" ht="20" customHeight="1">
      <c r="A24" s="24" t="inlineStr">
        <is>
          <t>Other opex</t>
        </is>
      </c>
      <c r="C24" s="26">
        <f>'Source Data'!$O$5</f>
        <v/>
      </c>
      <c r="D24" s="26">
        <f>'Source Data'!$O$6</f>
        <v/>
      </c>
      <c r="E24" s="26">
        <f>'Source Data'!$O$7</f>
        <v/>
      </c>
      <c r="F24" s="26">
        <f>'Source Data'!$O$8</f>
        <v/>
      </c>
      <c r="G24" s="26">
        <f>'Source Data'!$O$9</f>
        <v/>
      </c>
      <c r="H24" s="26">
        <f>'Source Data'!$O$10</f>
        <v/>
      </c>
      <c r="I24" s="26">
        <f>'Source Data'!$O$11</f>
        <v/>
      </c>
      <c r="J24" s="26">
        <f>'Source Data'!$O$12</f>
        <v/>
      </c>
      <c r="K24" s="26">
        <f>'Source Data'!$O$13</f>
        <v/>
      </c>
      <c r="L24" s="26">
        <f>'Source Data'!$O$14</f>
        <v/>
      </c>
      <c r="M24" s="26">
        <f>'Source Data'!$O$15</f>
        <v/>
      </c>
      <c r="N24" s="26">
        <f>'Source Data'!$O$16</f>
        <v/>
      </c>
    </row>
    <row r="25" ht="20" customHeight="1">
      <c r="A25" s="27" t="inlineStr">
        <is>
          <t>Total opex</t>
        </is>
      </c>
      <c r="B25" s="28" t="n"/>
      <c r="C25" s="29">
        <f>SUM(C21:C24)</f>
        <v/>
      </c>
      <c r="D25" s="29">
        <f>SUM(D21:D24)</f>
        <v/>
      </c>
      <c r="E25" s="29">
        <f>SUM(E21:E24)</f>
        <v/>
      </c>
      <c r="F25" s="29">
        <f>SUM(F21:F24)</f>
        <v/>
      </c>
      <c r="G25" s="29">
        <f>SUM(G21:G24)</f>
        <v/>
      </c>
      <c r="H25" s="29">
        <f>SUM(H21:H24)</f>
        <v/>
      </c>
      <c r="I25" s="29">
        <f>SUM(I21:I24)</f>
        <v/>
      </c>
      <c r="J25" s="29">
        <f>SUM(J21:J24)</f>
        <v/>
      </c>
      <c r="K25" s="29">
        <f>SUM(K21:K24)</f>
        <v/>
      </c>
      <c r="L25" s="29">
        <f>SUM(L21:L24)</f>
        <v/>
      </c>
      <c r="M25" s="29">
        <f>SUM(M21:M24)</f>
        <v/>
      </c>
      <c r="N25" s="29">
        <f>SUM(N21:N24)</f>
        <v/>
      </c>
    </row>
    <row r="26" ht="20" customHeight="1">
      <c r="A26" s="27" t="inlineStr">
        <is>
          <t>EBITDA</t>
        </is>
      </c>
      <c r="B26" s="28" t="n"/>
      <c r="C26" s="29">
        <f>C17-C25</f>
        <v/>
      </c>
      <c r="D26" s="29">
        <f>D17-D25</f>
        <v/>
      </c>
      <c r="E26" s="29">
        <f>E17-E25</f>
        <v/>
      </c>
      <c r="F26" s="29">
        <f>F17-F25</f>
        <v/>
      </c>
      <c r="G26" s="29">
        <f>G17-G25</f>
        <v/>
      </c>
      <c r="H26" s="29">
        <f>H17-H25</f>
        <v/>
      </c>
      <c r="I26" s="29">
        <f>I17-I25</f>
        <v/>
      </c>
      <c r="J26" s="29">
        <f>J17-J25</f>
        <v/>
      </c>
      <c r="K26" s="29">
        <f>K17-K25</f>
        <v/>
      </c>
      <c r="L26" s="29">
        <f>L17-L25</f>
        <v/>
      </c>
      <c r="M26" s="29">
        <f>M17-M25</f>
        <v/>
      </c>
      <c r="N26" s="29">
        <f>N17-N25</f>
        <v/>
      </c>
    </row>
    <row r="27" ht="20" customHeight="1">
      <c r="A27" s="30" t="inlineStr">
        <is>
          <t>EBITDA margin %</t>
        </is>
      </c>
      <c r="C27" s="31">
        <f>IFERROR(C26/C10,0)</f>
        <v/>
      </c>
      <c r="D27" s="31">
        <f>IFERROR(D26/D10,0)</f>
        <v/>
      </c>
      <c r="E27" s="31">
        <f>IFERROR(E26/E10,0)</f>
        <v/>
      </c>
      <c r="F27" s="31">
        <f>IFERROR(F26/F10,0)</f>
        <v/>
      </c>
      <c r="G27" s="31">
        <f>IFERROR(G26/G10,0)</f>
        <v/>
      </c>
      <c r="H27" s="31">
        <f>IFERROR(H26/H10,0)</f>
        <v/>
      </c>
      <c r="I27" s="31">
        <f>IFERROR(I26/I10,0)</f>
        <v/>
      </c>
      <c r="J27" s="31">
        <f>IFERROR(J26/J10,0)</f>
        <v/>
      </c>
      <c r="K27" s="31">
        <f>IFERROR(K26/K10,0)</f>
        <v/>
      </c>
      <c r="L27" s="31">
        <f>IFERROR(L26/L10,0)</f>
        <v/>
      </c>
      <c r="M27" s="31">
        <f>IFERROR(M26/M10,0)</f>
        <v/>
      </c>
      <c r="N27" s="31">
        <f>IFERROR(N26/N10,0)</f>
        <v/>
      </c>
    </row>
    <row r="28"/>
    <row r="29">
      <c r="A29" s="23" t="inlineStr">
        <is>
          <t>Memo / Cash</t>
        </is>
      </c>
    </row>
    <row r="30" ht="20" customHeight="1">
      <c r="A30" s="24" t="inlineStr">
        <is>
          <t>Cash injection (memo)</t>
        </is>
      </c>
      <c r="C30" s="26">
        <f>'Source Data'!$R$5</f>
        <v/>
      </c>
      <c r="D30" s="26">
        <f>'Source Data'!$R$6</f>
        <v/>
      </c>
      <c r="E30" s="26">
        <f>'Source Data'!$R$7</f>
        <v/>
      </c>
      <c r="F30" s="26">
        <f>'Source Data'!$R$8</f>
        <v/>
      </c>
      <c r="G30" s="26">
        <f>'Source Data'!$R$9</f>
        <v/>
      </c>
      <c r="H30" s="26">
        <f>'Source Data'!$R$10</f>
        <v/>
      </c>
      <c r="I30" s="26">
        <f>'Source Data'!$R$11</f>
        <v/>
      </c>
      <c r="J30" s="26">
        <f>'Source Data'!$R$12</f>
        <v/>
      </c>
      <c r="K30" s="26">
        <f>'Source Data'!$R$13</f>
        <v/>
      </c>
      <c r="L30" s="26">
        <f>'Source Data'!$R$14</f>
        <v/>
      </c>
      <c r="M30" s="26">
        <f>'Source Data'!$R$15</f>
        <v/>
      </c>
      <c r="N30" s="26">
        <f>'Source Data'!$R$16</f>
        <v/>
      </c>
    </row>
    <row r="31" ht="20" customHeight="1">
      <c r="A31" s="24" t="inlineStr">
        <is>
          <t>Ending cash (memo)</t>
        </is>
      </c>
      <c r="C31" s="26">
        <f>'Source Data'!$S$5</f>
        <v/>
      </c>
      <c r="D31" s="26">
        <f>'Source Data'!$S$6</f>
        <v/>
      </c>
      <c r="E31" s="26">
        <f>'Source Data'!$S$7</f>
        <v/>
      </c>
      <c r="F31" s="26">
        <f>'Source Data'!$S$8</f>
        <v/>
      </c>
      <c r="G31" s="26">
        <f>'Source Data'!$S$9</f>
        <v/>
      </c>
      <c r="H31" s="26">
        <f>'Source Data'!$S$10</f>
        <v/>
      </c>
      <c r="I31" s="26">
        <f>'Source Data'!$S$11</f>
        <v/>
      </c>
      <c r="J31" s="26">
        <f>'Source Data'!$S$12</f>
        <v/>
      </c>
      <c r="K31" s="26">
        <f>'Source Data'!$S$13</f>
        <v/>
      </c>
      <c r="L31" s="26">
        <f>'Source Data'!$S$14</f>
        <v/>
      </c>
      <c r="M31" s="26">
        <f>'Source Data'!$S$15</f>
        <v/>
      </c>
      <c r="N31" s="26">
        <f>'Source Data'!$S$16</f>
        <v/>
      </c>
    </row>
  </sheetData>
  <mergeCells count="6">
    <mergeCell ref="A6:N6"/>
    <mergeCell ref="A20:N20"/>
    <mergeCell ref="A2:N2"/>
    <mergeCell ref="A29:N29"/>
    <mergeCell ref="A11:N11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42" customWidth="1" min="7" max="7"/>
  </cols>
  <sheetData>
    <row r="1">
      <c r="A1" s="1" t="inlineStr">
        <is>
          <t>Checks</t>
        </is>
      </c>
    </row>
    <row r="2"/>
    <row r="3">
      <c r="A3" s="21" t="inlineStr">
        <is>
          <t>Check</t>
        </is>
      </c>
      <c r="B3" s="21" t="inlineStr">
        <is>
          <t>Actual</t>
        </is>
      </c>
      <c r="C3" s="21" t="inlineStr">
        <is>
          <t>Expected</t>
        </is>
      </c>
      <c r="D3" s="21" t="inlineStr">
        <is>
          <t>Difference</t>
        </is>
      </c>
      <c r="E3" s="21" t="inlineStr">
        <is>
          <t>Tolerance</t>
        </is>
      </c>
      <c r="F3" s="21" t="inlineStr">
        <is>
          <t>Status</t>
        </is>
      </c>
      <c r="G3" s="21" t="inlineStr">
        <is>
          <t>Notes</t>
        </is>
      </c>
    </row>
    <row r="4">
      <c r="A4" s="3" t="inlineStr">
        <is>
          <t>Revenue tie</t>
        </is>
      </c>
      <c r="B4" s="7">
        <f>SUM('Monthly P&amp;L'!C10:N10)</f>
        <v/>
      </c>
      <c r="C4" s="7">
        <f>SUM('Monthly P&amp;L'!C8:N8)+SUM('Monthly P&amp;L'!C9:N9)</f>
        <v/>
      </c>
      <c r="D4" s="7">
        <f>B4-C4</f>
        <v/>
      </c>
      <c r="E4" s="7" t="inlineStr">
        <is>
          <t>1</t>
        </is>
      </c>
      <c r="F4" s="32">
        <f>IF(ABS(D4)&lt;=E4,"OK","FAIL")</f>
        <v/>
      </c>
      <c r="G4" s="5" t="inlineStr">
        <is>
          <t>Total revenue should equal course + hardware revenue.</t>
        </is>
      </c>
    </row>
    <row r="5">
      <c r="A5" s="3" t="inlineStr">
        <is>
          <t>Gross profit tie</t>
        </is>
      </c>
      <c r="B5" s="7">
        <f>SUM('Monthly P&amp;L'!C17:N17)</f>
        <v/>
      </c>
      <c r="C5" s="7">
        <f>SUM('Monthly P&amp;L'!C10:N10)-SUM('Monthly P&amp;L'!C16:N16)</f>
        <v/>
      </c>
      <c r="D5" s="7">
        <f>B5-C5</f>
        <v/>
      </c>
      <c r="E5" s="7" t="inlineStr">
        <is>
          <t>1</t>
        </is>
      </c>
      <c r="F5" s="32">
        <f>IF(ABS(D5)&lt;=E5,"OK","FAIL")</f>
        <v/>
      </c>
      <c r="G5" s="5" t="inlineStr">
        <is>
          <t>Gross profit should equal revenue minus COGS.</t>
        </is>
      </c>
    </row>
    <row r="6">
      <c r="A6" s="3" t="inlineStr">
        <is>
          <t>EBITDA tie</t>
        </is>
      </c>
      <c r="B6" s="7">
        <f>SUM('Monthly P&amp;L'!C26:N26)</f>
        <v/>
      </c>
      <c r="C6" s="7">
        <f>SUM('Monthly P&amp;L'!C17:N17)-SUM('Monthly P&amp;L'!C25:N25)</f>
        <v/>
      </c>
      <c r="D6" s="7">
        <f>B6-C6</f>
        <v/>
      </c>
      <c r="E6" s="7" t="inlineStr">
        <is>
          <t>1</t>
        </is>
      </c>
      <c r="F6" s="32">
        <f>IF(ABS(D6)&lt;=E6,"OK","FAIL")</f>
        <v/>
      </c>
      <c r="G6" s="5" t="inlineStr">
        <is>
          <t>EBITDA should equal gross profit minus opex.</t>
        </is>
      </c>
    </row>
    <row r="7">
      <c r="A7" s="3" t="inlineStr">
        <is>
          <t>Closing cash tie</t>
        </is>
      </c>
      <c r="B7" s="7">
        <f>'Monthly P&amp;L'!N31</f>
        <v/>
      </c>
      <c r="C7" s="7">
        <f>'Source Data'!S13</f>
        <v/>
      </c>
      <c r="D7" s="7">
        <f>B7-C7</f>
        <v/>
      </c>
      <c r="E7" s="7" t="inlineStr">
        <is>
          <t>1</t>
        </is>
      </c>
      <c r="F7" s="32">
        <f>IF(ABS(D7)&lt;=E7,"OK","FAIL")</f>
        <v/>
      </c>
      <c r="G7" s="5" t="inlineStr">
        <is>
          <t>Final cash should match the source plan.</t>
        </is>
      </c>
    </row>
    <row r="8"/>
    <row r="9"/>
    <row r="10">
      <c r="A10" s="3" t="inlineStr">
        <is>
          <t>Model status</t>
        </is>
      </c>
      <c r="B10" s="33">
        <f>IF(COUNTIF(F4:F7,"FAIL")&gt;0,"CHECK","OK")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2026-06-04T23:58:17Z</dcterms:created>
  <dcterms:modified xmlns:dcterms="http://purl.org/dc/terms/" xmlns:xsi="http://www.w3.org/2001/XMLSchema-instance" xsi:type="dcterms:W3CDTF">2026-06-04T23:58:17Z</dcterms:modified>
</cp:coreProperties>
</file>